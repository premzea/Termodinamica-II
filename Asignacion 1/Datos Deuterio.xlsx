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f5f906da8c23dd95/Desktop/Icesi_Pregrado/2026-1/termo 2/Asignacion 1/"/>
    </mc:Choice>
  </mc:AlternateContent>
  <xr:revisionPtr revIDLastSave="110" documentId="11_F25DC773A252ABDACC10485489D862385BDE58EC" xr6:coauthVersionLast="47" xr6:coauthVersionMax="47" xr10:uidLastSave="{99439243-D526-4161-8D69-EFB307C6F97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6" i="1"/>
  <c r="W28" i="1"/>
  <c r="W2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sharedStrings.xml><?xml version="1.0" encoding="utf-8"?>
<sst xmlns="http://schemas.openxmlformats.org/spreadsheetml/2006/main" count="8" uniqueCount="8">
  <si>
    <t>T</t>
  </si>
  <si>
    <t>B</t>
  </si>
  <si>
    <t>1/T</t>
  </si>
  <si>
    <t>a_vir</t>
  </si>
  <si>
    <t>b_vir</t>
  </si>
  <si>
    <t>a</t>
  </si>
  <si>
    <t>b</t>
  </si>
  <si>
    <t>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</si>
</sst>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Sheet1!$A$2:$A$30</c:f>
              <c:numCache>
                <c:formatCode>General</c:formatCode>
                <c:ptCount val="29"/>
                <c:pt idx="0">
                  <c:v>84</c:v>
                </c:pt>
                <c:pt idx="1">
                  <c:v>88</c:v>
                </c:pt>
                <c:pt idx="2">
                  <c:v>92</c:v>
                </c:pt>
                <c:pt idx="3">
                  <c:v>96</c:v>
                </c:pt>
                <c:pt idx="4">
                  <c:v>100</c:v>
                </c:pt>
                <c:pt idx="5">
                  <c:v>110</c:v>
                </c:pt>
                <c:pt idx="6">
                  <c:v>115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220</c:v>
                </c:pt>
                <c:pt idx="17">
                  <c:v>240</c:v>
                </c:pt>
                <c:pt idx="18">
                  <c:v>260</c:v>
                </c:pt>
                <c:pt idx="19">
                  <c:v>273.14999999999998</c:v>
                </c:pt>
                <c:pt idx="20">
                  <c:v>280</c:v>
                </c:pt>
                <c:pt idx="21">
                  <c:v>300</c:v>
                </c:pt>
                <c:pt idx="22">
                  <c:v>320</c:v>
                </c:pt>
                <c:pt idx="23">
                  <c:v>340</c:v>
                </c:pt>
                <c:pt idx="24">
                  <c:v>360</c:v>
                </c:pt>
                <c:pt idx="25">
                  <c:v>373.15</c:v>
                </c:pt>
                <c:pt idx="26">
                  <c:v>380</c:v>
                </c:pt>
                <c:pt idx="27">
                  <c:v>400</c:v>
                </c:pt>
                <c:pt idx="28">
                  <c:v>420</c:v>
                </c:pt>
              </c:numCache>
            </c:numRef>
          </c:xVal>
          <c:yVal>
            <c:numRef>
              <c:f>Sheet1!$B$2:$B$30</c:f>
              <c:numCache>
                <c:formatCode>General</c:formatCode>
                <c:ptCount val="29"/>
                <c:pt idx="0">
                  <c:v>-10.4</c:v>
                </c:pt>
                <c:pt idx="1">
                  <c:v>-8.6999999999999993</c:v>
                </c:pt>
                <c:pt idx="2">
                  <c:v>-7</c:v>
                </c:pt>
                <c:pt idx="3">
                  <c:v>-5</c:v>
                </c:pt>
                <c:pt idx="4">
                  <c:v>-4.2</c:v>
                </c:pt>
                <c:pt idx="5">
                  <c:v>-1.3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4.5999999999999996</c:v>
                </c:pt>
                <c:pt idx="10">
                  <c:v>6</c:v>
                </c:pt>
                <c:pt idx="11">
                  <c:v>7.1</c:v>
                </c:pt>
                <c:pt idx="12">
                  <c:v>8.1</c:v>
                </c:pt>
                <c:pt idx="13">
                  <c:v>8.9</c:v>
                </c:pt>
                <c:pt idx="14">
                  <c:v>9.5</c:v>
                </c:pt>
                <c:pt idx="15">
                  <c:v>10.199999999999999</c:v>
                </c:pt>
                <c:pt idx="16">
                  <c:v>11.3</c:v>
                </c:pt>
                <c:pt idx="17">
                  <c:v>12.2</c:v>
                </c:pt>
                <c:pt idx="18">
                  <c:v>12.8</c:v>
                </c:pt>
                <c:pt idx="19">
                  <c:v>13.1</c:v>
                </c:pt>
                <c:pt idx="20">
                  <c:v>13.2</c:v>
                </c:pt>
                <c:pt idx="21">
                  <c:v>13.5</c:v>
                </c:pt>
                <c:pt idx="22">
                  <c:v>14</c:v>
                </c:pt>
                <c:pt idx="23">
                  <c:v>14.4</c:v>
                </c:pt>
                <c:pt idx="24">
                  <c:v>14.7</c:v>
                </c:pt>
                <c:pt idx="25">
                  <c:v>14.9</c:v>
                </c:pt>
                <c:pt idx="26">
                  <c:v>15</c:v>
                </c:pt>
                <c:pt idx="27">
                  <c:v>15.2</c:v>
                </c:pt>
                <c:pt idx="28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3D-47AC-9CE6-4F118B7D3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434447"/>
        <c:axId val="2101435887"/>
      </c:scatterChart>
      <c:valAx>
        <c:axId val="210143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35887"/>
        <c:crosses val="autoZero"/>
        <c:crossBetween val="midCat"/>
      </c:valAx>
      <c:valAx>
        <c:axId val="21014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3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B_2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132786526684164"/>
                  <c:y val="8.881598133566637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Sheet1!$E$2:$E$30</c:f>
              <c:numCache>
                <c:formatCode>General</c:formatCode>
                <c:ptCount val="29"/>
                <c:pt idx="0">
                  <c:v>1.1904761904761904E-2</c:v>
                </c:pt>
                <c:pt idx="1">
                  <c:v>1.1363636363636364E-2</c:v>
                </c:pt>
                <c:pt idx="2">
                  <c:v>1.0869565217391304E-2</c:v>
                </c:pt>
                <c:pt idx="3">
                  <c:v>1.0416666666666666E-2</c:v>
                </c:pt>
                <c:pt idx="4">
                  <c:v>0.01</c:v>
                </c:pt>
                <c:pt idx="5">
                  <c:v>9.0909090909090905E-3</c:v>
                </c:pt>
                <c:pt idx="6">
                  <c:v>8.6956521739130436E-3</c:v>
                </c:pt>
                <c:pt idx="7">
                  <c:v>8.3333333333333332E-3</c:v>
                </c:pt>
                <c:pt idx="8">
                  <c:v>7.6923076923076927E-3</c:v>
                </c:pt>
                <c:pt idx="9">
                  <c:v>7.1428571428571426E-3</c:v>
                </c:pt>
                <c:pt idx="10">
                  <c:v>6.6666666666666671E-3</c:v>
                </c:pt>
                <c:pt idx="11">
                  <c:v>6.2500000000000003E-3</c:v>
                </c:pt>
                <c:pt idx="12">
                  <c:v>5.8823529411764705E-3</c:v>
                </c:pt>
                <c:pt idx="13">
                  <c:v>5.5555555555555558E-3</c:v>
                </c:pt>
                <c:pt idx="14">
                  <c:v>5.263157894736842E-3</c:v>
                </c:pt>
                <c:pt idx="15">
                  <c:v>5.0000000000000001E-3</c:v>
                </c:pt>
                <c:pt idx="16">
                  <c:v>4.5454545454545452E-3</c:v>
                </c:pt>
                <c:pt idx="17">
                  <c:v>4.1666666666666666E-3</c:v>
                </c:pt>
                <c:pt idx="18">
                  <c:v>3.8461538461538464E-3</c:v>
                </c:pt>
                <c:pt idx="19">
                  <c:v>3.6609921288669233E-3</c:v>
                </c:pt>
                <c:pt idx="20">
                  <c:v>3.5714285714285713E-3</c:v>
                </c:pt>
                <c:pt idx="21">
                  <c:v>3.3333333333333335E-3</c:v>
                </c:pt>
                <c:pt idx="22">
                  <c:v>3.1250000000000002E-3</c:v>
                </c:pt>
                <c:pt idx="23">
                  <c:v>2.9411764705882353E-3</c:v>
                </c:pt>
                <c:pt idx="24">
                  <c:v>2.7777777777777779E-3</c:v>
                </c:pt>
                <c:pt idx="25">
                  <c:v>2.6798874447273215E-3</c:v>
                </c:pt>
                <c:pt idx="26">
                  <c:v>2.631578947368421E-3</c:v>
                </c:pt>
                <c:pt idx="27">
                  <c:v>2.5000000000000001E-3</c:v>
                </c:pt>
                <c:pt idx="28">
                  <c:v>2.3809523809523812E-3</c:v>
                </c:pt>
              </c:numCache>
            </c:numRef>
          </c:xVal>
          <c:yVal>
            <c:numRef>
              <c:f>Sheet1!$F$2:$F$30</c:f>
              <c:numCache>
                <c:formatCode>General</c:formatCode>
                <c:ptCount val="29"/>
                <c:pt idx="0">
                  <c:v>-10.4</c:v>
                </c:pt>
                <c:pt idx="1">
                  <c:v>-8.6999999999999993</c:v>
                </c:pt>
                <c:pt idx="2">
                  <c:v>-7</c:v>
                </c:pt>
                <c:pt idx="3">
                  <c:v>-5</c:v>
                </c:pt>
                <c:pt idx="4">
                  <c:v>-4.2</c:v>
                </c:pt>
                <c:pt idx="5">
                  <c:v>-1.3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4.5999999999999996</c:v>
                </c:pt>
                <c:pt idx="10">
                  <c:v>6</c:v>
                </c:pt>
                <c:pt idx="11">
                  <c:v>7.1</c:v>
                </c:pt>
                <c:pt idx="12">
                  <c:v>8.1</c:v>
                </c:pt>
                <c:pt idx="13">
                  <c:v>8.9</c:v>
                </c:pt>
                <c:pt idx="14">
                  <c:v>9.5</c:v>
                </c:pt>
                <c:pt idx="15">
                  <c:v>10.199999999999999</c:v>
                </c:pt>
                <c:pt idx="16">
                  <c:v>11.3</c:v>
                </c:pt>
                <c:pt idx="17">
                  <c:v>12.2</c:v>
                </c:pt>
                <c:pt idx="18">
                  <c:v>12.8</c:v>
                </c:pt>
                <c:pt idx="19">
                  <c:v>13.1</c:v>
                </c:pt>
                <c:pt idx="20">
                  <c:v>13.2</c:v>
                </c:pt>
                <c:pt idx="21">
                  <c:v>13.5</c:v>
                </c:pt>
                <c:pt idx="22">
                  <c:v>14</c:v>
                </c:pt>
                <c:pt idx="23">
                  <c:v>14.4</c:v>
                </c:pt>
                <c:pt idx="24">
                  <c:v>14.7</c:v>
                </c:pt>
                <c:pt idx="25">
                  <c:v>14.9</c:v>
                </c:pt>
                <c:pt idx="26">
                  <c:v>15</c:v>
                </c:pt>
                <c:pt idx="27">
                  <c:v>15.2</c:v>
                </c:pt>
                <c:pt idx="28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0C-4048-90F4-F1035BA3C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216847"/>
        <c:axId val="816217327"/>
      </c:scatterChart>
      <c:valAx>
        <c:axId val="81621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17327"/>
        <c:crosses val="autoZero"/>
        <c:crossBetween val="midCat"/>
      </c:valAx>
      <c:valAx>
        <c:axId val="8162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1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319767</xdr:colOff>
      <xdr:row>32</xdr:row>
      <xdr:rowOff>84364</xdr:rowOff>
    </xdr:from>
    <xdr:to>
      <xdr:col>11</xdr:col>
      <xdr:colOff>95249</xdr:colOff>
      <xdr:row>57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4FCC1-D00D-01F3-B103-9088BB3D1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118241</xdr:colOff>
      <xdr:row>8</xdr:row>
      <xdr:rowOff>117366</xdr:rowOff>
    </xdr:from>
    <xdr:to>
      <xdr:col>15</xdr:col>
      <xdr:colOff>398517</xdr:colOff>
      <xdr:row>23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0FE09-9701-E94D-2C7A-A3526BBD1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zoomScale="87" workbookViewId="0">
      <selection activeCell="F2" sqref="F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E1" t="s">
        <v>2</v>
      </c>
      <c r="F1" t="s">
        <v>7</v>
      </c>
    </row>
    <row r="2" spans="1:18" x14ac:dyDescent="0.3">
      <c r="A2">
        <v>84</v>
      </c>
      <c r="B2">
        <v>-10.4</v>
      </c>
      <c r="E2">
        <f>1/A2</f>
        <v>1.1904761904761904E-2</v>
      </c>
      <c r="F2">
        <v>-10.4</v>
      </c>
    </row>
    <row r="3" spans="1:18" x14ac:dyDescent="0.3">
      <c r="A3">
        <v>88</v>
      </c>
      <c r="B3">
        <v>-8.6999999999999993</v>
      </c>
      <c r="E3">
        <f>1/A3</f>
        <v>1.1363636363636364E-2</v>
      </c>
      <c r="F3">
        <v>-8.6999999999999993</v>
      </c>
    </row>
    <row r="4" spans="1:18" x14ac:dyDescent="0.3">
      <c r="A4">
        <v>92</v>
      </c>
      <c r="B4">
        <v>-7</v>
      </c>
      <c r="E4">
        <f>1/A4</f>
        <v>1.0869565217391304E-2</v>
      </c>
      <c r="F4">
        <v>-7</v>
      </c>
    </row>
    <row r="5" spans="1:18" x14ac:dyDescent="0.3">
      <c r="A5">
        <v>96</v>
      </c>
      <c r="B5">
        <v>-5</v>
      </c>
      <c r="E5">
        <f>1/A5</f>
        <v>1.0416666666666666E-2</v>
      </c>
      <c r="F5">
        <v>-5</v>
      </c>
    </row>
    <row r="6" spans="1:18" x14ac:dyDescent="0.3">
      <c r="A6">
        <v>100</v>
      </c>
      <c r="B6">
        <v>-4.2</v>
      </c>
      <c r="E6">
        <f>1/A6</f>
        <v>0.01</v>
      </c>
      <c r="F6">
        <v>-4.2</v>
      </c>
    </row>
    <row r="7" spans="1:18" x14ac:dyDescent="0.3">
      <c r="A7">
        <v>110</v>
      </c>
      <c r="B7">
        <v>-1.3</v>
      </c>
      <c r="E7">
        <f>1/A7</f>
        <v>9.0909090909090905E-3</v>
      </c>
      <c r="F7">
        <v>-1.3</v>
      </c>
    </row>
    <row r="8" spans="1:18" x14ac:dyDescent="0.3">
      <c r="A8">
        <v>115</v>
      </c>
      <c r="B8">
        <v>0</v>
      </c>
      <c r="E8">
        <f>1/A8</f>
        <v>8.6956521739130436E-3</v>
      </c>
      <c r="F8">
        <v>0</v>
      </c>
    </row>
    <row r="9" spans="1:18" x14ac:dyDescent="0.3">
      <c r="A9">
        <v>120</v>
      </c>
      <c r="B9">
        <v>1</v>
      </c>
      <c r="E9">
        <f>1/A9</f>
        <v>8.3333333333333332E-3</v>
      </c>
      <c r="F9">
        <v>1</v>
      </c>
    </row>
    <row r="10" spans="1:18" x14ac:dyDescent="0.3">
      <c r="A10">
        <v>130</v>
      </c>
      <c r="B10">
        <v>3</v>
      </c>
      <c r="E10">
        <f>1/A10</f>
        <v>7.6923076923076927E-3</v>
      </c>
      <c r="F10">
        <v>3</v>
      </c>
    </row>
    <row r="11" spans="1:18" x14ac:dyDescent="0.3">
      <c r="A11">
        <v>140</v>
      </c>
      <c r="B11">
        <v>4.5999999999999996</v>
      </c>
      <c r="E11">
        <f>1/A11</f>
        <v>7.1428571428571426E-3</v>
      </c>
      <c r="F11">
        <v>4.5999999999999996</v>
      </c>
    </row>
    <row r="12" spans="1:18" x14ac:dyDescent="0.3">
      <c r="A12">
        <v>150</v>
      </c>
      <c r="B12">
        <v>6</v>
      </c>
      <c r="E12">
        <f>1/A12</f>
        <v>6.6666666666666671E-3</v>
      </c>
      <c r="F12">
        <v>6</v>
      </c>
    </row>
    <row r="13" spans="1:18" x14ac:dyDescent="0.3">
      <c r="A13">
        <v>160</v>
      </c>
      <c r="B13">
        <v>7.1</v>
      </c>
      <c r="E13">
        <f>1/A13</f>
        <v>6.2500000000000003E-3</v>
      </c>
      <c r="F13">
        <v>7.1</v>
      </c>
    </row>
    <row r="14" spans="1:18" x14ac:dyDescent="0.3">
      <c r="A14">
        <v>170</v>
      </c>
      <c r="B14">
        <v>8.1</v>
      </c>
      <c r="E14">
        <f>1/A14</f>
        <v>5.8823529411764705E-3</v>
      </c>
      <c r="F14">
        <v>8.1</v>
      </c>
    </row>
    <row r="15" spans="1:18" x14ac:dyDescent="0.3">
      <c r="A15">
        <v>180</v>
      </c>
      <c r="B15">
        <v>8.9</v>
      </c>
      <c r="E15">
        <f>1/A15</f>
        <v>5.5555555555555558E-3</v>
      </c>
      <c r="F15">
        <v>8.9</v>
      </c>
      <c r="Q15" t="s">
        <v>5</v>
      </c>
      <c r="R15">
        <f>-2669.8*8.3145*-1</f>
        <v>22198.052100000004</v>
      </c>
    </row>
    <row r="16" spans="1:18" x14ac:dyDescent="0.3">
      <c r="A16">
        <v>190</v>
      </c>
      <c r="B16">
        <v>9.5</v>
      </c>
      <c r="E16">
        <f>1/A16</f>
        <v>5.263157894736842E-3</v>
      </c>
      <c r="F16">
        <v>9.5</v>
      </c>
      <c r="Q16" t="s">
        <v>6</v>
      </c>
      <c r="R16">
        <f>22.813</f>
        <v>22.812999999999999</v>
      </c>
    </row>
    <row r="17" spans="1:23" x14ac:dyDescent="0.3">
      <c r="A17">
        <v>200</v>
      </c>
      <c r="B17">
        <v>10.199999999999999</v>
      </c>
      <c r="E17">
        <f>1/A17</f>
        <v>5.0000000000000001E-3</v>
      </c>
      <c r="F17">
        <v>10.199999999999999</v>
      </c>
    </row>
    <row r="18" spans="1:23" x14ac:dyDescent="0.3">
      <c r="A18">
        <v>220</v>
      </c>
      <c r="B18">
        <v>11.3</v>
      </c>
      <c r="E18">
        <f>1/A18</f>
        <v>4.5454545454545452E-3</v>
      </c>
      <c r="F18">
        <v>11.3</v>
      </c>
    </row>
    <row r="19" spans="1:23" x14ac:dyDescent="0.3">
      <c r="A19">
        <v>240</v>
      </c>
      <c r="B19">
        <v>12.2</v>
      </c>
      <c r="E19">
        <f>1/A19</f>
        <v>4.1666666666666666E-3</v>
      </c>
      <c r="F19">
        <v>12.2</v>
      </c>
    </row>
    <row r="20" spans="1:23" x14ac:dyDescent="0.3">
      <c r="A20">
        <v>260</v>
      </c>
      <c r="B20">
        <v>12.8</v>
      </c>
      <c r="E20">
        <f>1/A20</f>
        <v>3.8461538461538464E-3</v>
      </c>
      <c r="F20">
        <v>12.8</v>
      </c>
    </row>
    <row r="21" spans="1:23" x14ac:dyDescent="0.3">
      <c r="A21">
        <v>273.14999999999998</v>
      </c>
      <c r="B21">
        <v>13.1</v>
      </c>
      <c r="E21">
        <f>1/A21</f>
        <v>3.6609921288669233E-3</v>
      </c>
      <c r="F21">
        <v>13.1</v>
      </c>
    </row>
    <row r="22" spans="1:23" x14ac:dyDescent="0.3">
      <c r="A22">
        <v>280</v>
      </c>
      <c r="B22">
        <v>13.2</v>
      </c>
      <c r="E22">
        <f>1/A22</f>
        <v>3.5714285714285713E-3</v>
      </c>
      <c r="F22">
        <v>13.2</v>
      </c>
    </row>
    <row r="23" spans="1:23" x14ac:dyDescent="0.3">
      <c r="A23">
        <v>300</v>
      </c>
      <c r="B23">
        <v>13.5</v>
      </c>
      <c r="E23">
        <f>1/A23</f>
        <v>3.3333333333333335E-3</v>
      </c>
      <c r="F23">
        <v>13.5</v>
      </c>
    </row>
    <row r="24" spans="1:23" x14ac:dyDescent="0.3">
      <c r="A24">
        <v>320</v>
      </c>
      <c r="B24">
        <v>14</v>
      </c>
      <c r="E24">
        <f>1/A24</f>
        <v>3.1250000000000002E-3</v>
      </c>
      <c r="F24">
        <v>14</v>
      </c>
    </row>
    <row r="25" spans="1:23" x14ac:dyDescent="0.3">
      <c r="A25">
        <v>340</v>
      </c>
      <c r="B25">
        <v>14.4</v>
      </c>
      <c r="E25">
        <f>1/A25</f>
        <v>2.9411764705882353E-3</v>
      </c>
      <c r="F25">
        <v>14.4</v>
      </c>
    </row>
    <row r="26" spans="1:23" x14ac:dyDescent="0.3">
      <c r="A26">
        <v>360</v>
      </c>
      <c r="B26">
        <v>14.7</v>
      </c>
      <c r="E26">
        <f>1/A26</f>
        <v>2.7777777777777779E-3</v>
      </c>
      <c r="F26">
        <v>14.7</v>
      </c>
    </row>
    <row r="27" spans="1:23" x14ac:dyDescent="0.3">
      <c r="A27">
        <v>373.15</v>
      </c>
      <c r="B27">
        <v>14.9</v>
      </c>
      <c r="E27">
        <f>1/A27</f>
        <v>2.6798874447273215E-3</v>
      </c>
      <c r="F27">
        <v>14.9</v>
      </c>
      <c r="V27" t="s">
        <v>3</v>
      </c>
      <c r="W27">
        <f>-0.0004*8.3145*-1</f>
        <v>3.3258000000000003E-3</v>
      </c>
    </row>
    <row r="28" spans="1:23" x14ac:dyDescent="0.3">
      <c r="A28">
        <v>380</v>
      </c>
      <c r="B28">
        <v>15</v>
      </c>
      <c r="E28">
        <f>1/A28</f>
        <v>2.631578947368421E-3</v>
      </c>
      <c r="F28">
        <v>15</v>
      </c>
      <c r="V28" t="s">
        <v>4</v>
      </c>
      <c r="W28">
        <f>0.0085</f>
        <v>8.5000000000000006E-3</v>
      </c>
    </row>
    <row r="29" spans="1:23" x14ac:dyDescent="0.3">
      <c r="A29">
        <v>400</v>
      </c>
      <c r="B29">
        <v>15.2</v>
      </c>
      <c r="E29">
        <f>1/A29</f>
        <v>2.5000000000000001E-3</v>
      </c>
      <c r="F29">
        <v>15.2</v>
      </c>
    </row>
    <row r="30" spans="1:23" x14ac:dyDescent="0.3">
      <c r="A30">
        <v>420</v>
      </c>
      <c r="B30">
        <v>15.5</v>
      </c>
      <c r="E30">
        <f>1/A30</f>
        <v>2.3809523809523812E-3</v>
      </c>
      <c r="F30">
        <v>15.5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Nithya Zea</dc:creator>
  <cp:lastModifiedBy>Prem Nithya Zea</cp:lastModifiedBy>
  <dcterms:created xsi:type="dcterms:W3CDTF">2015-06-05T18:17:20Z</dcterms:created>
  <dcterms:modified xsi:type="dcterms:W3CDTF">2026-03-04T01:12:22Z</dcterms:modified>
</cp:coreProperties>
</file>
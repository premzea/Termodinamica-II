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f5f906da8c23dd95/Desktop/Icesi_Pregrado/2026-1/termo 2/Asignacion 2/"/>
    </mc:Choice>
  </mc:AlternateContent>
  <xr:revisionPtr revIDLastSave="2419" documentId="11_F25DC773A252ABDACC10485489D862385BDE58EC" xr6:coauthVersionLast="47" xr6:coauthVersionMax="47" xr10:uidLastSave="{5EBB07BE-C23A-4658-B128-772DDEB69FB8}"/>
  <bookViews>
    <workbookView minimized="1" xWindow="12" yWindow="12" windowWidth="23016" windowHeight="12216" xr2:uid="{00000000-000D-0000-FFFF-FFFF00000000}"/>
  </bookViews>
  <sheets>
    <sheet name="Punto 2" sheetId="1" r:id="rId1"/>
  </sheets>
  <definedNames>
    <definedName name="solver_adj" localSheetId="0" hidden="1">'Punto 2'!$B$9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'Punto 2'!$B$9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'Punto 2'!$G$9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E29" i="1"/>
  <c r="G24" i="1"/>
  <c r="G23" i="1"/>
  <c r="G22" i="1"/>
  <c r="F22" i="1"/>
  <c r="F24" i="1"/>
  <c r="F23" i="1"/>
  <c r="E24" i="1"/>
  <c r="E23" i="1"/>
  <c r="E22" i="1"/>
  <c r="G3" i="1"/>
  <c r="K20" i="1"/>
  <c r="D24" i="1"/>
  <c r="D23" i="1"/>
  <c r="D22" i="1"/>
  <c r="K19" i="1"/>
  <c r="C25" i="1"/>
  <c r="E9" i="1"/>
  <c r="E10" i="1"/>
  <c r="D3" i="1"/>
  <c r="E11" i="1"/>
  <c r="D4" i="1"/>
  <c r="D5" i="1"/>
  <c r="B15" i="1"/>
  <c r="B10" i="1"/>
  <c r="C6" i="1"/>
  <c r="E25" i="1" l="1"/>
  <c r="D25" i="1"/>
  <c r="D6" i="1"/>
  <c r="E3" i="1"/>
  <c r="E5" i="1"/>
  <c r="E4" i="1"/>
  <c r="G9" i="1"/>
  <c r="B16" i="1"/>
  <c r="F3" i="1" l="1"/>
  <c r="E15" i="1"/>
  <c r="G5" i="1"/>
  <c r="E17" i="1"/>
  <c r="G4" i="1"/>
  <c r="E16" i="1"/>
  <c r="F5" i="1"/>
  <c r="F4" i="1"/>
  <c r="E6" i="1"/>
  <c r="G25" i="1" l="1"/>
  <c r="F25" i="1"/>
  <c r="F6" i="1"/>
  <c r="G15" i="1"/>
  <c r="G6" i="1" l="1"/>
</calcChain>
</file>

<file path=xl/sharedStrings.xml><?xml version="1.0" encoding="utf-8"?>
<sst xmlns="http://schemas.openxmlformats.org/spreadsheetml/2006/main" count="43" uniqueCount="25">
  <si>
    <t>n hexane</t>
  </si>
  <si>
    <t>n pentane</t>
  </si>
  <si>
    <t>n heptane</t>
  </si>
  <si>
    <t>P</t>
  </si>
  <si>
    <t>Beta</t>
  </si>
  <si>
    <t>I</t>
  </si>
  <si>
    <t>T</t>
  </si>
  <si>
    <t>bar</t>
  </si>
  <si>
    <t>K</t>
  </si>
  <si>
    <t>SUM</t>
  </si>
  <si>
    <t>NA</t>
  </si>
  <si>
    <t>II</t>
  </si>
  <si>
    <t xml:space="preserve"> </t>
  </si>
  <si>
    <t>Radlich Rice</t>
  </si>
  <si>
    <t>P sat [bar]</t>
  </si>
  <si>
    <t>0,3905</t>
  </si>
  <si>
    <t>Maxwell Areas</t>
  </si>
  <si>
    <t>NIST</t>
  </si>
  <si>
    <t>Clara</t>
  </si>
  <si>
    <t>Global Molar</t>
  </si>
  <si>
    <t>1  = 1</t>
  </si>
  <si>
    <t>2 = 0.269</t>
  </si>
  <si>
    <t>3 = 0.731</t>
  </si>
  <si>
    <t>npentane recovery</t>
  </si>
  <si>
    <t>Global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</si>
</sst>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0" fillId="0" borderId="1" xfId="0" applyNumberFormat="1" applyBorder="1"/>
    <xf numFmtId="0" fontId="0" fillId="2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2" fillId="5" borderId="0" xfId="0" applyFont="1" applyFill="1"/>
    <xf numFmtId="2" fontId="0" fillId="0" borderId="0" xfId="0" applyNumberFormat="1"/>
    <xf numFmtId="2" fontId="0" fillId="0" borderId="1" xfId="0" applyNumberFormat="1" applyBorder="1"/>
    <xf numFmtId="2" fontId="0" fillId="5" borderId="1" xfId="0" applyNumberFormat="1" applyFill="1" applyBorder="1"/>
    <xf numFmtId="2" fontId="2" fillId="5" borderId="1" xfId="0" applyNumberFormat="1" applyFont="1" applyFill="1" applyBorder="1"/>
    <xf numFmtId="2" fontId="2" fillId="0" borderId="1" xfId="0" applyNumberFormat="1" applyFont="1" applyBorder="1"/>
    <xf numFmtId="0" fontId="0" fillId="6" borderId="0" xfId="0" applyFill="1"/>
    <xf numFmtId="0" fontId="0" fillId="4" borderId="0" xfId="0" applyFill="1" applyBorder="1"/>
    <xf numFmtId="0" fontId="0" fillId="7" borderId="0" xfId="0" applyFill="1"/>
    <xf numFmtId="2" fontId="0" fillId="6" borderId="1" xfId="0" applyNumberFormat="1" applyFill="1" applyBorder="1"/>
    <xf numFmtId="0" fontId="1" fillId="0" borderId="1" xfId="0" applyNumberFormat="1" applyFont="1" applyBorder="1"/>
    <xf numFmtId="0" fontId="1" fillId="5" borderId="1" xfId="0" applyFont="1" applyFill="1" applyBorder="1" applyAlignment="1">
      <alignment horizontal="center"/>
    </xf>
    <xf numFmtId="9" fontId="0" fillId="5" borderId="1" xfId="1" applyFont="1" applyFill="1" applyBorder="1"/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11</xdr:row>
      <xdr:rowOff>99060</xdr:rowOff>
    </xdr:from>
    <xdr:to>
      <xdr:col>10</xdr:col>
      <xdr:colOff>594360</xdr:colOff>
      <xdr:row>11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1BD62D8-A8CB-FC6D-1A59-14757ABB8C3E}"/>
            </a:ext>
          </a:extLst>
        </xdr:cNvPr>
        <xdr:cNvCxnSpPr/>
      </xdr:nvCxnSpPr>
      <xdr:spPr>
        <a:xfrm>
          <a:off x="6286500" y="2110740"/>
          <a:ext cx="807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8</xdr:row>
      <xdr:rowOff>15240</xdr:rowOff>
    </xdr:from>
    <xdr:to>
      <xdr:col>12</xdr:col>
      <xdr:colOff>510540</xdr:colOff>
      <xdr:row>9</xdr:row>
      <xdr:rowOff>167640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438D9710-C728-A55A-CABD-324711967672}"/>
            </a:ext>
          </a:extLst>
        </xdr:cNvPr>
        <xdr:cNvCxnSpPr/>
      </xdr:nvCxnSpPr>
      <xdr:spPr>
        <a:xfrm flipV="1">
          <a:off x="7414260" y="1478280"/>
          <a:ext cx="815340" cy="335280"/>
        </a:xfrm>
        <a:prstGeom prst="bentConnector3">
          <a:avLst>
            <a:gd name="adj1" fmla="val -4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335280</xdr:colOff>
      <xdr:row>12</xdr:row>
      <xdr:rowOff>114300</xdr:rowOff>
    </xdr:from>
    <xdr:to>
      <xdr:col>14</xdr:col>
      <xdr:colOff>541020</xdr:colOff>
      <xdr:row>14</xdr:row>
      <xdr:rowOff>83820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56F34C7-C10E-4B6E-BFF7-2E1A0577DAA9}"/>
            </a:ext>
          </a:extLst>
        </xdr:cNvPr>
        <xdr:cNvCxnSpPr/>
      </xdr:nvCxnSpPr>
      <xdr:spPr>
        <a:xfrm>
          <a:off x="8938260" y="2308860"/>
          <a:ext cx="815340" cy="335280"/>
        </a:xfrm>
        <a:prstGeom prst="bentConnector3">
          <a:avLst>
            <a:gd name="adj1" fmla="val -4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11</xdr:row>
      <xdr:rowOff>91440</xdr:rowOff>
    </xdr:from>
    <xdr:to>
      <xdr:col>13</xdr:col>
      <xdr:colOff>15240</xdr:colOff>
      <xdr:row>11</xdr:row>
      <xdr:rowOff>99060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C52669D-10E1-4152-B2B5-511FE282009E}"/>
            </a:ext>
          </a:extLst>
        </xdr:cNvPr>
        <xdr:cNvCxnSpPr/>
      </xdr:nvCxnSpPr>
      <xdr:spPr>
        <a:xfrm>
          <a:off x="7680960" y="2103120"/>
          <a:ext cx="9372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312420</xdr:colOff>
      <xdr:row>8</xdr:row>
      <xdr:rowOff>144780</xdr:rowOff>
    </xdr:from>
    <xdr:to>
      <xdr:col>14</xdr:col>
      <xdr:colOff>518160</xdr:colOff>
      <xdr:row>10</xdr:row>
      <xdr:rowOff>114300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83BB69A4-26F6-4939-9DA0-97A2E0F750CA}"/>
            </a:ext>
          </a:extLst>
        </xdr:cNvPr>
        <xdr:cNvCxnSpPr/>
      </xdr:nvCxnSpPr>
      <xdr:spPr>
        <a:xfrm flipV="1">
          <a:off x="8915400" y="1607820"/>
          <a:ext cx="815340" cy="335280"/>
        </a:xfrm>
        <a:prstGeom prst="bentConnector3">
          <a:avLst>
            <a:gd name="adj1" fmla="val -46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8" workbookViewId="0">
      <selection activeCell="A28" sqref="A28"/>
    </sheetView>
  </sheetViews>
  <sheetFormatPr defaultRowHeight="14.4" x14ac:dyDescent="0.3"/>
  <cols>
    <col min="1" max="1" width="9.5546875" bestFit="1" customWidth="1"/>
    <col min="2" max="2" width="12" bestFit="1" customWidth="1"/>
    <col min="4" max="4" width="11.21875" bestFit="1" customWidth="1"/>
    <col min="5" max="7" width="10.5546875" bestFit="1" customWidth="1"/>
    <col min="13" max="13" width="12.88671875" bestFit="1" customWidth="1"/>
  </cols>
  <sheetData>
    <row r="1" spans="1:15" x14ac:dyDescent="0.3">
      <c r="A1" s="2"/>
      <c r="B1" s="4" t="s">
        <v>19</v>
      </c>
      <c r="C1" s="7" t="s">
        <v>5</v>
      </c>
      <c r="D1" s="7"/>
      <c r="E1" s="8"/>
      <c r="F1" s="6" t="s">
        <v>11</v>
      </c>
      <c r="G1" s="6"/>
    </row>
    <row r="2" spans="1:15" x14ac:dyDescent="0.3">
      <c r="A2" s="3"/>
      <c r="B2" s="3" t="s">
        <v>14</v>
      </c>
      <c r="C2" s="3">
        <v>1</v>
      </c>
      <c r="D2" s="3">
        <v>2</v>
      </c>
      <c r="E2" s="1">
        <v>3</v>
      </c>
      <c r="F2" s="15">
        <v>4</v>
      </c>
      <c r="G2" s="3">
        <v>5</v>
      </c>
      <c r="I2" s="1"/>
      <c r="M2" s="3" t="s">
        <v>16</v>
      </c>
      <c r="N2" s="14" t="s">
        <v>17</v>
      </c>
      <c r="O2" s="3" t="s">
        <v>18</v>
      </c>
    </row>
    <row r="3" spans="1:15" x14ac:dyDescent="0.3">
      <c r="A3" s="3" t="s">
        <v>0</v>
      </c>
      <c r="B3" s="24">
        <v>1.0233000000000001</v>
      </c>
      <c r="C3" s="2">
        <v>0.45</v>
      </c>
      <c r="D3" s="19">
        <f>(B3*C3/(1-B$9))/(B$11+(B3*B$9/(1-B$9)))</f>
        <v>0.42575730093353503</v>
      </c>
      <c r="E3" s="19">
        <f>(C3-D3*B$9)/(1-B$9)</f>
        <v>0.45891752460636082</v>
      </c>
      <c r="F3" s="20">
        <f>(B3*E3/(1-B$15))/(B$17+(B3*B$15/(1-B$15)))</f>
        <v>0.48640784641347651</v>
      </c>
      <c r="G3" s="19">
        <f>E3/(B$15*((B3/B$17)-1)+1)</f>
        <v>0.44713595811759699</v>
      </c>
      <c r="M3" s="2">
        <v>0.39430681820000002</v>
      </c>
      <c r="N3" s="10">
        <v>1.0233000000000001</v>
      </c>
      <c r="O3" s="9">
        <v>1022</v>
      </c>
    </row>
    <row r="4" spans="1:15" x14ac:dyDescent="0.3">
      <c r="A4" s="3" t="s">
        <v>1</v>
      </c>
      <c r="B4" s="23">
        <v>2.7599</v>
      </c>
      <c r="C4" s="2">
        <v>0.25</v>
      </c>
      <c r="D4" s="26">
        <f t="shared" ref="D4:D5" si="0">(B4*C4/(1-B$9))/(B$11+(B4*B$9/(1-B$9)))</f>
        <v>0.44555409134576213</v>
      </c>
      <c r="E4" s="19">
        <f t="shared" ref="E4:E5" si="1">(C4-D4*B$9)/(1-B$9)</f>
        <v>0.17806665558693263</v>
      </c>
      <c r="F4" s="26">
        <f>(B4*E4/(1-B$15))/(B$17+(B4*B$15/(1-B$15)))</f>
        <v>0.3306182118393115</v>
      </c>
      <c r="G4" s="19">
        <f t="shared" ref="G4:G5" si="2">E4/(B$15*((B4/B$17)-1)+1)</f>
        <v>0.112687417193056</v>
      </c>
      <c r="M4" s="2">
        <v>0.2753395522</v>
      </c>
      <c r="N4" s="10">
        <v>2.7599</v>
      </c>
      <c r="O4" s="9">
        <v>2758</v>
      </c>
    </row>
    <row r="5" spans="1:15" x14ac:dyDescent="0.3">
      <c r="A5" s="3" t="s">
        <v>2</v>
      </c>
      <c r="B5" s="25">
        <v>0.39101999999999998</v>
      </c>
      <c r="C5" s="2">
        <v>0.3</v>
      </c>
      <c r="D5" s="19">
        <f t="shared" si="0"/>
        <v>0.12869094287060745</v>
      </c>
      <c r="E5" s="19">
        <f t="shared" si="1"/>
        <v>0.36301496083647894</v>
      </c>
      <c r="F5" s="20">
        <f>(B5*E5/(1-B$15))/(B$17+(B5*B$15/(1-B$15)))</f>
        <v>0.18297161509753049</v>
      </c>
      <c r="G5" s="19">
        <f t="shared" si="2"/>
        <v>0.44017639472459968</v>
      </c>
      <c r="M5" s="2">
        <v>0.39430681820000002</v>
      </c>
      <c r="N5" s="10">
        <v>0.39101999999999998</v>
      </c>
      <c r="O5" s="2" t="s">
        <v>15</v>
      </c>
    </row>
    <row r="6" spans="1:15" x14ac:dyDescent="0.3">
      <c r="A6" s="3" t="s">
        <v>9</v>
      </c>
      <c r="B6" s="3" t="s">
        <v>10</v>
      </c>
      <c r="C6" s="2">
        <f>SUM(C3:C5)</f>
        <v>1</v>
      </c>
      <c r="D6" s="19">
        <f t="shared" ref="D6:E6" si="3">SUM(D3:D5)</f>
        <v>1.0000023351499046</v>
      </c>
      <c r="E6" s="19">
        <f t="shared" si="3"/>
        <v>0.99999914102977239</v>
      </c>
      <c r="F6" s="21">
        <f t="shared" ref="F6" si="4">SUM(F3:F5)</f>
        <v>0.99999767335031842</v>
      </c>
      <c r="G6" s="22">
        <f t="shared" ref="G6" si="5">SUM(G3:G5)</f>
        <v>0.99999977003525264</v>
      </c>
    </row>
    <row r="8" spans="1:15" x14ac:dyDescent="0.3">
      <c r="A8" s="1" t="s">
        <v>5</v>
      </c>
      <c r="C8" s="1"/>
      <c r="L8" s="1" t="s">
        <v>21</v>
      </c>
    </row>
    <row r="9" spans="1:15" x14ac:dyDescent="0.3">
      <c r="A9" s="1" t="s">
        <v>4</v>
      </c>
      <c r="B9" s="5">
        <v>0.26892232978719599</v>
      </c>
      <c r="C9" s="1"/>
      <c r="D9" s="1" t="s">
        <v>13</v>
      </c>
      <c r="E9" s="18">
        <f>C3/(B$9*((B3/B$11) - 1) + 1)</f>
        <v>0.45891752460636087</v>
      </c>
      <c r="G9">
        <f>SUM(E9:E11)</f>
        <v>0.9999991410297725</v>
      </c>
      <c r="N9" s="1">
        <v>4</v>
      </c>
    </row>
    <row r="10" spans="1:15" x14ac:dyDescent="0.3">
      <c r="A10" s="1" t="s">
        <v>6</v>
      </c>
      <c r="B10">
        <f>69+273.15</f>
        <v>342.15</v>
      </c>
      <c r="C10" s="1" t="s">
        <v>8</v>
      </c>
      <c r="E10" s="18">
        <f>(C4/(B$9*(B4/B$11 - 1) + 1))</f>
        <v>0.17806665558693269</v>
      </c>
    </row>
    <row r="11" spans="1:15" x14ac:dyDescent="0.3">
      <c r="A11" s="1" t="s">
        <v>3</v>
      </c>
      <c r="B11">
        <v>1.103</v>
      </c>
      <c r="C11" s="1" t="s">
        <v>7</v>
      </c>
      <c r="E11" s="18">
        <f>(C5/(B$9*(B5/B$11 - 1) + 1))</f>
        <v>0.36301496083647888</v>
      </c>
      <c r="K11" s="12" t="s">
        <v>20</v>
      </c>
      <c r="L11" s="11" t="s">
        <v>5</v>
      </c>
      <c r="M11" s="12" t="s">
        <v>22</v>
      </c>
      <c r="N11" s="11" t="s">
        <v>11</v>
      </c>
    </row>
    <row r="12" spans="1:15" x14ac:dyDescent="0.3">
      <c r="C12" s="1"/>
      <c r="E12" s="18" t="s">
        <v>12</v>
      </c>
      <c r="L12" s="11"/>
      <c r="N12" s="11"/>
    </row>
    <row r="13" spans="1:15" x14ac:dyDescent="0.3">
      <c r="C13" s="1"/>
      <c r="E13" s="18"/>
      <c r="L13" s="11"/>
      <c r="N13" s="11"/>
    </row>
    <row r="14" spans="1:15" x14ac:dyDescent="0.3">
      <c r="A14" s="1" t="s">
        <v>11</v>
      </c>
      <c r="C14" s="1"/>
      <c r="E14" s="18"/>
      <c r="O14" s="13">
        <v>5</v>
      </c>
    </row>
    <row r="15" spans="1:15" x14ac:dyDescent="0.3">
      <c r="A15" s="1" t="s">
        <v>4</v>
      </c>
      <c r="B15">
        <f>0.3</f>
        <v>0.3</v>
      </c>
      <c r="C15" s="1"/>
      <c r="D15" s="1" t="s">
        <v>13</v>
      </c>
      <c r="E15" s="18">
        <f>(E3/(B$15*((B3/B$17) - 1) + 1))</f>
        <v>0.44713595811759699</v>
      </c>
      <c r="G15">
        <f>SUM(E15:E17)</f>
        <v>0.99999977003525264</v>
      </c>
    </row>
    <row r="16" spans="1:15" x14ac:dyDescent="0.3">
      <c r="A16" s="1" t="s">
        <v>6</v>
      </c>
      <c r="B16">
        <f>B10</f>
        <v>342.15</v>
      </c>
      <c r="C16" s="1" t="s">
        <v>8</v>
      </c>
      <c r="E16" s="18">
        <f t="shared" ref="E16:E17" si="6">(E4/(B$15*((B4/B$17) - 1) + 1))</f>
        <v>0.112687417193056</v>
      </c>
    </row>
    <row r="17" spans="1:11" x14ac:dyDescent="0.3">
      <c r="A17" s="1" t="s">
        <v>3</v>
      </c>
      <c r="B17" s="17">
        <v>0.94068019115133239</v>
      </c>
      <c r="C17" s="1" t="s">
        <v>7</v>
      </c>
      <c r="E17" s="18">
        <f t="shared" si="6"/>
        <v>0.44017639472459968</v>
      </c>
    </row>
    <row r="18" spans="1:11" x14ac:dyDescent="0.3">
      <c r="E18" s="18"/>
    </row>
    <row r="19" spans="1:11" x14ac:dyDescent="0.3">
      <c r="K19">
        <f>1*(1-B9)</f>
        <v>0.73107767021280401</v>
      </c>
    </row>
    <row r="20" spans="1:11" x14ac:dyDescent="0.3">
      <c r="B20" s="1" t="s">
        <v>24</v>
      </c>
      <c r="K20" s="18">
        <f>K19+D25</f>
        <v>1.0000006279739528</v>
      </c>
    </row>
    <row r="21" spans="1:11" x14ac:dyDescent="0.3">
      <c r="A21" s="3"/>
      <c r="B21" s="3" t="s">
        <v>14</v>
      </c>
      <c r="C21" s="3">
        <v>1</v>
      </c>
      <c r="D21" s="3">
        <v>2</v>
      </c>
      <c r="E21" s="27">
        <v>3</v>
      </c>
      <c r="F21" s="15">
        <v>4</v>
      </c>
      <c r="G21" s="3">
        <v>5</v>
      </c>
    </row>
    <row r="22" spans="1:11" x14ac:dyDescent="0.3">
      <c r="A22" s="3" t="s">
        <v>0</v>
      </c>
      <c r="B22" s="24">
        <v>1.0233000000000001</v>
      </c>
      <c r="C22" s="2">
        <v>0.45</v>
      </c>
      <c r="D22" s="19">
        <f>(B22*C22/(1-B$9))*B9/(B$11+(B22*B$9/(1-B$9)))</f>
        <v>0.11449564529095456</v>
      </c>
      <c r="E22" s="19">
        <f>C3*(1-B$9)/(B$9*((B$3/B$11)-1)+1)</f>
        <v>0.33550435470904544</v>
      </c>
      <c r="F22" s="20">
        <f>(B22*E22/(1-B$15))*(B15)/(B$17+(B22*B$15/(1-B$15)))</f>
        <v>0.10668057453875755</v>
      </c>
      <c r="G22" s="19">
        <f>E22*(1-B15)/(B$15*((B22/B$17)-1)+1)</f>
        <v>0.2288237801702879</v>
      </c>
    </row>
    <row r="23" spans="1:11" x14ac:dyDescent="0.3">
      <c r="A23" s="3" t="s">
        <v>1</v>
      </c>
      <c r="B23" s="23">
        <v>2.7599</v>
      </c>
      <c r="C23" s="2">
        <v>0.25</v>
      </c>
      <c r="D23" s="26">
        <f>(B23*C23/(1-B$9))*B9/(B$11+(B23*B$9/(1-B$9)))</f>
        <v>0.11981944429091949</v>
      </c>
      <c r="E23" s="19">
        <f>C4*(1-B$9)/(B$9*((B4/B$11)-1)+1)</f>
        <v>0.13018055570908052</v>
      </c>
      <c r="F23" s="26">
        <f>(B23*E23/(1-B$15))*B15/(B$17+(B23*B$15/(1-B$15)))</f>
        <v>7.2512277612422155E-2</v>
      </c>
      <c r="G23" s="19">
        <f>E23*(1-B15)/(B$15*((B23/B$17)-1)+1)</f>
        <v>5.7668278096658365E-2</v>
      </c>
    </row>
    <row r="24" spans="1:11" x14ac:dyDescent="0.3">
      <c r="A24" s="3" t="s">
        <v>2</v>
      </c>
      <c r="B24" s="25">
        <v>0.39101999999999998</v>
      </c>
      <c r="C24" s="2">
        <v>0.3</v>
      </c>
      <c r="D24" s="19">
        <f>(B24*C24/(1-B$9))*B9/(B$11+(B24*B$9/(1-B$9)))</f>
        <v>3.4607868179274692E-2</v>
      </c>
      <c r="E24" s="19">
        <f>C5*(1-B$9)/(B$9*((B5/B$11)-1)+1)</f>
        <v>0.2653921318207253</v>
      </c>
      <c r="F24" s="20">
        <f>(B24*E24/(1-B$15))*B15/(B$17+(B24*B$15/(1-B$15)))</f>
        <v>4.0129938624172953E-2</v>
      </c>
      <c r="G24" s="19">
        <f>E24*(1-B15)/(B$15*((B24/B$17)-1)+1)</f>
        <v>0.22526219319655233</v>
      </c>
    </row>
    <row r="25" spans="1:11" x14ac:dyDescent="0.3">
      <c r="A25" s="3" t="s">
        <v>9</v>
      </c>
      <c r="B25" s="3" t="s">
        <v>10</v>
      </c>
      <c r="C25" s="2">
        <f>SUM(C22:C24)</f>
        <v>1</v>
      </c>
      <c r="D25" s="19">
        <f t="shared" ref="D25:G25" si="7">SUM(D22:D24)</f>
        <v>0.26892295776114872</v>
      </c>
      <c r="E25" s="19">
        <f>SUM(E22:E24)</f>
        <v>0.73107704223885128</v>
      </c>
      <c r="F25" s="21">
        <f t="shared" si="7"/>
        <v>0.21932279077535266</v>
      </c>
      <c r="G25" s="22">
        <f t="shared" si="7"/>
        <v>0.51175425146349851</v>
      </c>
    </row>
    <row r="27" spans="1:11" x14ac:dyDescent="0.3">
      <c r="D27" s="18"/>
    </row>
    <row r="28" spans="1:11" x14ac:dyDescent="0.3">
      <c r="C28" s="16" t="s">
        <v>23</v>
      </c>
      <c r="D28" s="16"/>
      <c r="E28" s="16"/>
    </row>
    <row r="29" spans="1:11" x14ac:dyDescent="0.3">
      <c r="C29" s="28" t="s">
        <v>5</v>
      </c>
      <c r="D29" s="15">
        <v>2</v>
      </c>
      <c r="E29" s="29">
        <f>D23/C23</f>
        <v>0.47927777716367798</v>
      </c>
    </row>
    <row r="30" spans="1:11" x14ac:dyDescent="0.3">
      <c r="C30" s="30" t="s">
        <v>11</v>
      </c>
      <c r="D30" s="15">
        <v>4</v>
      </c>
      <c r="E30" s="29">
        <f>F23/C23</f>
        <v>0.29004911044968862</v>
      </c>
    </row>
    <row r="31" spans="1:11" x14ac:dyDescent="0.3">
      <c r="C31" s="30"/>
      <c r="D31" s="15">
        <v>5</v>
      </c>
      <c r="E31" s="29">
        <f>G23/C23</f>
        <v>0.23067311238663346</v>
      </c>
    </row>
  </sheetData>
  <mergeCells count="5">
    <mergeCell ref="C30:C31"/>
    <mergeCell ref="F1:G1"/>
    <mergeCell ref="C1:E1"/>
    <mergeCell ref="L11:L13"/>
    <mergeCell ref="N11:N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Nithya Zea</dc:creator>
  <cp:lastModifiedBy>Prem Nithya Zea</cp:lastModifiedBy>
  <dcterms:created xsi:type="dcterms:W3CDTF">2015-06-05T18:17:20Z</dcterms:created>
  <dcterms:modified xsi:type="dcterms:W3CDTF">2026-04-28T10:15:47Z</dcterms:modified>
</cp:coreProperties>
</file>